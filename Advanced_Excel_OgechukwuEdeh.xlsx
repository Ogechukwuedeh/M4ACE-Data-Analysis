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M4ACE-Data Analysis\"/>
    </mc:Choice>
  </mc:AlternateContent>
  <xr:revisionPtr revIDLastSave="0" documentId="13_ncr:1_{BB543D50-E3C3-42F4-8FD5-746B83121A5C}" xr6:coauthVersionLast="47" xr6:coauthVersionMax="47" xr10:uidLastSave="{00000000-0000-0000-0000-000000000000}"/>
  <bookViews>
    <workbookView xWindow="-110" yWindow="-110" windowWidth="19420" windowHeight="10300" tabRatio="808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2" l="1"/>
  <c r="D6" i="12"/>
  <c r="E6" i="12"/>
  <c r="E5" i="12"/>
  <c r="B9" i="12"/>
  <c r="E4" i="12"/>
  <c r="B6" i="12"/>
  <c r="A25" i="7"/>
  <c r="A24" i="7"/>
  <c r="A15" i="7"/>
  <c r="A11" i="7"/>
  <c r="A36" i="7"/>
  <c r="A33" i="7"/>
  <c r="A29" i="7"/>
  <c r="A23" i="7"/>
  <c r="A19" i="7"/>
  <c r="A7" i="7"/>
  <c r="A3" i="7"/>
  <c r="F12" i="6"/>
  <c r="F11" i="6"/>
  <c r="F9" i="6"/>
  <c r="F10" i="6"/>
  <c r="F8" i="6"/>
  <c r="F7" i="6"/>
  <c r="G3" i="6" a="1"/>
  <c r="G3" i="6" s="1"/>
  <c r="F3" i="6" a="1"/>
  <c r="F3" i="6" s="1"/>
  <c r="G2" i="6"/>
  <c r="A5" i="10"/>
  <c r="A2" i="10"/>
  <c r="E7" i="9" a="1"/>
  <c r="E7" i="9" s="1"/>
  <c r="E3" i="9"/>
  <c r="D24" i="8"/>
  <c r="C24" i="8" a="1"/>
  <c r="C24" i="8" s="1"/>
  <c r="D23" i="8"/>
  <c r="C23" i="8"/>
  <c r="C15" i="8"/>
  <c r="C19" i="8"/>
  <c r="C11" i="8"/>
  <c r="D7" i="8"/>
  <c r="C7" i="8"/>
  <c r="C6" i="8"/>
  <c r="C5" i="8"/>
  <c r="C4" i="8"/>
  <c r="C3" i="8"/>
  <c r="F2" i="6"/>
  <c r="E12" i="5"/>
  <c r="E11" i="5"/>
  <c r="E10" i="5"/>
  <c r="E9" i="5"/>
  <c r="E8" i="5"/>
  <c r="E7" i="5"/>
  <c r="E6" i="5"/>
  <c r="E5" i="5"/>
  <c r="E4" i="5"/>
  <c r="E3" i="5"/>
  <c r="E2" i="5"/>
  <c r="B5" i="4"/>
  <c r="C5" i="12"/>
  <c r="D5" i="12"/>
  <c r="B5" i="12"/>
  <c r="C4" i="12"/>
  <c r="D4" i="12"/>
  <c r="B4" i="12"/>
  <c r="E3" i="12"/>
  <c r="E2" i="12"/>
  <c r="A3" i="11"/>
  <c r="B4" i="11"/>
  <c r="B3" i="11"/>
  <c r="A2" i="11"/>
  <c r="A1" i="11"/>
  <c r="B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<sst xmlns="http://schemas.openxmlformats.org/spreadsheetml/2006/main" count="150" uniqueCount="73">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</sst>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tabSelected="1" zoomScale="175" zoomScaleNormal="175" workbookViewId="0">
      <selection activeCell="C9" sqref="C9"/>
    </sheetView>
  </sheetViews>
  <sheetFormatPr defaultRowHeight="14.5" x14ac:dyDescent="0.35"/>
  <cols>
    <col min="1" max="1" width="11.1796875" customWidth="1"/>
    <col min="2" max="2" width="17" customWidth="1"/>
    <col min="3" max="3" width="16.81640625" customWidth="1"/>
    <col min="4" max="4" width="12.453125" bestFit="1" customWidth="1"/>
    <col min="6" max="6" width="2.26953125" customWidth="1"/>
  </cols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35">
      <c r="A2" s="2" t="s">
        <v>5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35">
      <c r="A3" s="2" t="s">
        <v>6</v>
      </c>
      <c r="B3">
        <v>4</v>
      </c>
      <c r="C3">
        <v>3</v>
      </c>
      <c r="D3">
        <v>2</v>
      </c>
      <c r="E3">
        <f t="shared" ref="E3:E5" si="0">SUM(B3:D3)</f>
        <v>9</v>
      </c>
    </row>
    <row r="4" spans="1:7" x14ac:dyDescent="0.35">
      <c r="A4" s="2" t="s">
        <v>7</v>
      </c>
      <c r="B4">
        <f>B2-B3</f>
        <v>6</v>
      </c>
      <c r="C4">
        <f t="shared" ref="C4:D4" si="1">C2-C3</f>
        <v>5</v>
      </c>
      <c r="D4">
        <f t="shared" si="1"/>
        <v>3</v>
      </c>
      <c r="E4">
        <f t="shared" si="0"/>
        <v>14</v>
      </c>
    </row>
    <row r="5" spans="1:7" x14ac:dyDescent="0.35">
      <c r="A5" s="2" t="s">
        <v>8</v>
      </c>
      <c r="B5">
        <f>B4*$G$2</f>
        <v>0.60000000000000009</v>
      </c>
      <c r="C5">
        <f t="shared" ref="C5:E5" si="2">C4*$G$2</f>
        <v>0.5</v>
      </c>
      <c r="D5">
        <f t="shared" si="2"/>
        <v>0.30000000000000004</v>
      </c>
      <c r="E5">
        <f t="shared" si="2"/>
        <v>1.4000000000000001</v>
      </c>
    </row>
    <row r="6" spans="1:7" x14ac:dyDescent="0.35">
      <c r="A6" s="2"/>
      <c r="B6">
        <f>B4*TaxRate</f>
        <v>0.60000000000000009</v>
      </c>
      <c r="C6">
        <f>C4*TaxRate</f>
        <v>0.5</v>
      </c>
      <c r="D6">
        <f>D4*TaxRate</f>
        <v>0.30000000000000004</v>
      </c>
      <c r="E6">
        <f>E4*TaxRate</f>
        <v>1.4000000000000001</v>
      </c>
    </row>
    <row r="7" spans="1:7" x14ac:dyDescent="0.35">
      <c r="C7" s="1"/>
    </row>
    <row r="8" spans="1:7" x14ac:dyDescent="0.35">
      <c r="C8" s="1"/>
    </row>
    <row r="9" spans="1:7" x14ac:dyDescent="0.35">
      <c r="A9" s="2" t="s">
        <v>9</v>
      </c>
      <c r="B9">
        <f>E4/2</f>
        <v>7</v>
      </c>
      <c r="C9" s="1"/>
      <c r="D9" s="6"/>
    </row>
    <row r="10" spans="1:7" x14ac:dyDescent="0.35">
      <c r="C10" s="1"/>
      <c r="D10" s="6"/>
    </row>
    <row r="11" spans="1:7" x14ac:dyDescent="0.35">
      <c r="C11" s="1"/>
    </row>
    <row r="12" spans="1:7" x14ac:dyDescent="0.3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310" zoomScaleNormal="310" workbookViewId="0">
      <selection activeCell="A2" sqref="A2"/>
    </sheetView>
  </sheetViews>
  <sheetFormatPr defaultRowHeight="14.5" x14ac:dyDescent="0.35"/>
  <sheetData>
    <row r="1" spans="1:1" x14ac:dyDescent="0.35">
      <c r="A1" s="2" t="s">
        <v>4</v>
      </c>
    </row>
    <row r="2" spans="1:1" x14ac:dyDescent="0.3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topLeftCell="A7" zoomScale="265" zoomScaleNormal="265" workbookViewId="0">
      <selection activeCell="B6" sqref="B6"/>
    </sheetView>
  </sheetViews>
  <sheetFormatPr defaultRowHeight="14.5" x14ac:dyDescent="0.35"/>
  <cols>
    <col min="2" max="2" width="14.453125" bestFit="1" customWidth="1"/>
  </cols>
  <sheetData>
    <row r="1" spans="1:4" x14ac:dyDescent="0.35">
      <c r="B1" s="2" t="s">
        <v>0</v>
      </c>
      <c r="D1" s="2" t="s">
        <v>4</v>
      </c>
    </row>
    <row r="2" spans="1:4" x14ac:dyDescent="0.35">
      <c r="A2" s="2" t="s">
        <v>5</v>
      </c>
      <c r="B2">
        <v>10</v>
      </c>
      <c r="D2" s="3">
        <v>0.1</v>
      </c>
    </row>
    <row r="3" spans="1:4" x14ac:dyDescent="0.35">
      <c r="A3" s="2" t="s">
        <v>6</v>
      </c>
      <c r="B3">
        <v>4</v>
      </c>
    </row>
    <row r="4" spans="1:4" x14ac:dyDescent="0.35">
      <c r="A4" s="2" t="s">
        <v>7</v>
      </c>
      <c r="B4">
        <f>B2-B3</f>
        <v>6</v>
      </c>
    </row>
    <row r="5" spans="1:4" x14ac:dyDescent="0.35">
      <c r="A5" s="2" t="s">
        <v>8</v>
      </c>
      <c r="B5">
        <f>B4*D2</f>
        <v>0.60000000000000009</v>
      </c>
    </row>
    <row r="7" spans="1:4" x14ac:dyDescent="0.35">
      <c r="A7" s="4" t="s">
        <v>10</v>
      </c>
    </row>
    <row r="8" spans="1:4" x14ac:dyDescent="0.35">
      <c r="A8" s="4" t="s">
        <v>11</v>
      </c>
    </row>
    <row r="9" spans="1:4" x14ac:dyDescent="0.3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110" zoomScaleNormal="110" workbookViewId="0">
      <selection activeCell="F11" sqref="F11"/>
    </sheetView>
  </sheetViews>
  <sheetFormatPr defaultRowHeight="14.5" x14ac:dyDescent="0.35"/>
  <cols>
    <col min="1" max="1" width="13.7265625" customWidth="1"/>
    <col min="2" max="2" width="12.26953125" bestFit="1" customWidth="1"/>
    <col min="3" max="3" width="3.1796875" customWidth="1"/>
    <col min="4" max="4" width="28.26953125" bestFit="1" customWidth="1"/>
    <col min="5" max="5" width="12" bestFit="1" customWidth="1"/>
  </cols>
  <sheetData>
    <row r="1" spans="1:5" x14ac:dyDescent="0.35">
      <c r="A1" s="2" t="s">
        <v>13</v>
      </c>
      <c r="B1" s="2" t="s">
        <v>14</v>
      </c>
    </row>
    <row r="2" spans="1:5" x14ac:dyDescent="0.3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35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35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35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35">
      <c r="A6" t="s">
        <v>20</v>
      </c>
      <c r="B6">
        <v>52</v>
      </c>
      <c r="D6" t="s">
        <v>21</v>
      </c>
      <c r="E6">
        <f>SMALL(B2:B8, 2)</f>
        <v>40</v>
      </c>
    </row>
    <row r="7" spans="1:5" x14ac:dyDescent="0.3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35">
      <c r="A8" t="s">
        <v>24</v>
      </c>
      <c r="B8">
        <v>36</v>
      </c>
      <c r="E8">
        <f>COUNTA(A2:A8)</f>
        <v>7</v>
      </c>
    </row>
    <row r="9" spans="1:5" x14ac:dyDescent="0.35">
      <c r="E9">
        <f>COUNTBLANK(B2:B9)</f>
        <v>1</v>
      </c>
    </row>
    <row r="10" spans="1:5" x14ac:dyDescent="0.35">
      <c r="D10" t="s">
        <v>25</v>
      </c>
      <c r="E10">
        <f>AVERAGE(B2:B8)</f>
        <v>60.142857142857146</v>
      </c>
    </row>
    <row r="11" spans="1:5" x14ac:dyDescent="0.35">
      <c r="D11" t="s">
        <v>26</v>
      </c>
      <c r="E11">
        <f>MEDIAN(B2:B8)</f>
        <v>52</v>
      </c>
    </row>
    <row r="12" spans="1:5" x14ac:dyDescent="0.3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G22"/>
  <sheetViews>
    <sheetView zoomScale="130" zoomScaleNormal="130" workbookViewId="0">
      <selection activeCell="F11" sqref="F11"/>
    </sheetView>
  </sheetViews>
  <sheetFormatPr defaultRowHeight="14.5" x14ac:dyDescent="0.35"/>
  <cols>
    <col min="1" max="1" width="15.7265625" bestFit="1" customWidth="1"/>
    <col min="2" max="2" width="15.7265625" customWidth="1"/>
    <col min="3" max="3" width="12.26953125" bestFit="1" customWidth="1"/>
    <col min="5" max="5" width="12.453125" bestFit="1" customWidth="1"/>
  </cols>
  <sheetData>
    <row r="1" spans="1:7" x14ac:dyDescent="0.35">
      <c r="A1" s="2" t="s">
        <v>13</v>
      </c>
      <c r="B1" s="2" t="s">
        <v>28</v>
      </c>
      <c r="C1" s="2" t="s">
        <v>14</v>
      </c>
    </row>
    <row r="2" spans="1:7" x14ac:dyDescent="0.35">
      <c r="A2" t="s">
        <v>0</v>
      </c>
      <c r="B2" t="s">
        <v>29</v>
      </c>
      <c r="C2">
        <v>28</v>
      </c>
      <c r="E2" t="s">
        <v>30</v>
      </c>
      <c r="F2">
        <f>SUMIF(B:B,B2,C:C)</f>
        <v>362</v>
      </c>
      <c r="G2">
        <f>SUMIF(B:B,"*s",C:C)</f>
        <v>802</v>
      </c>
    </row>
    <row r="3" spans="1:7" x14ac:dyDescent="0.35">
      <c r="A3" t="s">
        <v>1</v>
      </c>
      <c r="B3" t="s">
        <v>29</v>
      </c>
      <c r="C3">
        <v>32</v>
      </c>
      <c r="E3" t="s">
        <v>31</v>
      </c>
      <c r="F3" cm="1">
        <f t="array" ref="F3:F4">SUMIFS(C:C,B:B,B2,A:A,A2:A3)</f>
        <v>28</v>
      </c>
      <c r="G3" cm="1">
        <f t="array" ref="G3">SUM(SUMIFS(C:C,B:B,B2,A:A,A2:A3))</f>
        <v>60</v>
      </c>
    </row>
    <row r="4" spans="1:7" x14ac:dyDescent="0.35">
      <c r="A4" t="s">
        <v>2</v>
      </c>
      <c r="B4" t="s">
        <v>29</v>
      </c>
      <c r="C4">
        <v>52</v>
      </c>
      <c r="F4">
        <v>32</v>
      </c>
    </row>
    <row r="5" spans="1:7" x14ac:dyDescent="0.35">
      <c r="A5" t="s">
        <v>18</v>
      </c>
      <c r="B5" t="s">
        <v>29</v>
      </c>
      <c r="C5">
        <v>67</v>
      </c>
    </row>
    <row r="6" spans="1:7" x14ac:dyDescent="0.35">
      <c r="A6" t="s">
        <v>20</v>
      </c>
      <c r="B6" t="s">
        <v>29</v>
      </c>
      <c r="C6">
        <v>44</v>
      </c>
    </row>
    <row r="7" spans="1:7" x14ac:dyDescent="0.35">
      <c r="A7" t="s">
        <v>22</v>
      </c>
      <c r="B7" t="s">
        <v>29</v>
      </c>
      <c r="C7">
        <v>39</v>
      </c>
      <c r="E7" t="s">
        <v>32</v>
      </c>
      <c r="F7">
        <f>AVERAGEIF(A:A,A2,C:C)</f>
        <v>52.666666666666664</v>
      </c>
    </row>
    <row r="8" spans="1:7" x14ac:dyDescent="0.35">
      <c r="A8" t="s">
        <v>24</v>
      </c>
      <c r="B8" t="s">
        <v>29</v>
      </c>
      <c r="C8">
        <v>100</v>
      </c>
      <c r="E8" t="s">
        <v>33</v>
      </c>
      <c r="F8">
        <f>AVERAGEIFS(C:C,A:A,A2,B:B,B2)</f>
        <v>28</v>
      </c>
    </row>
    <row r="9" spans="1:7" x14ac:dyDescent="0.35">
      <c r="A9" t="s">
        <v>0</v>
      </c>
      <c r="B9" t="s">
        <v>34</v>
      </c>
      <c r="C9">
        <v>75</v>
      </c>
      <c r="E9" t="s">
        <v>35</v>
      </c>
      <c r="F9">
        <f>COUNTIF(A:A,A2)</f>
        <v>3</v>
      </c>
    </row>
    <row r="10" spans="1:7" x14ac:dyDescent="0.35">
      <c r="A10" t="s">
        <v>1</v>
      </c>
      <c r="B10" t="s">
        <v>34</v>
      </c>
      <c r="C10">
        <v>32</v>
      </c>
      <c r="E10" t="s">
        <v>36</v>
      </c>
      <c r="F10">
        <f>COUNTIFS(A:A, A2, B:B, B2,C:C, C2)</f>
        <v>1</v>
      </c>
    </row>
    <row r="11" spans="1:7" x14ac:dyDescent="0.35">
      <c r="A11" t="s">
        <v>2</v>
      </c>
      <c r="B11" t="s">
        <v>34</v>
      </c>
      <c r="C11">
        <v>40</v>
      </c>
      <c r="E11" t="s">
        <v>37</v>
      </c>
      <c r="F11">
        <f>_xlfn.MINIFS(C:C,A:A,A2)</f>
        <v>28</v>
      </c>
    </row>
    <row r="12" spans="1:7" x14ac:dyDescent="0.35">
      <c r="A12" t="s">
        <v>18</v>
      </c>
      <c r="B12" t="s">
        <v>34</v>
      </c>
      <c r="C12">
        <v>21</v>
      </c>
      <c r="E12" t="s">
        <v>38</v>
      </c>
      <c r="F12">
        <f>_xlfn.MAXIFS(C:C,A:A,A2,B:B,B2)</f>
        <v>28</v>
      </c>
    </row>
    <row r="13" spans="1:7" x14ac:dyDescent="0.35">
      <c r="A13" t="s">
        <v>20</v>
      </c>
      <c r="B13" t="s">
        <v>34</v>
      </c>
      <c r="C13">
        <v>58</v>
      </c>
    </row>
    <row r="14" spans="1:7" x14ac:dyDescent="0.35">
      <c r="A14" t="s">
        <v>22</v>
      </c>
      <c r="B14" t="s">
        <v>34</v>
      </c>
      <c r="C14">
        <v>21</v>
      </c>
    </row>
    <row r="15" spans="1:7" x14ac:dyDescent="0.35">
      <c r="A15" t="s">
        <v>24</v>
      </c>
      <c r="B15" t="s">
        <v>34</v>
      </c>
      <c r="C15">
        <v>54</v>
      </c>
    </row>
    <row r="16" spans="1:7" x14ac:dyDescent="0.35">
      <c r="A16" t="s">
        <v>0</v>
      </c>
      <c r="B16" t="s">
        <v>39</v>
      </c>
      <c r="C16">
        <v>55</v>
      </c>
    </row>
    <row r="17" spans="1:3" x14ac:dyDescent="0.35">
      <c r="A17" t="s">
        <v>1</v>
      </c>
      <c r="B17" t="s">
        <v>39</v>
      </c>
      <c r="C17">
        <v>41</v>
      </c>
    </row>
    <row r="18" spans="1:3" x14ac:dyDescent="0.35">
      <c r="A18" t="s">
        <v>2</v>
      </c>
      <c r="B18" t="s">
        <v>39</v>
      </c>
      <c r="C18">
        <v>92</v>
      </c>
    </row>
    <row r="19" spans="1:3" x14ac:dyDescent="0.35">
      <c r="A19" t="s">
        <v>18</v>
      </c>
      <c r="B19" t="s">
        <v>39</v>
      </c>
      <c r="C19">
        <v>89</v>
      </c>
    </row>
    <row r="20" spans="1:3" x14ac:dyDescent="0.35">
      <c r="A20" t="s">
        <v>20</v>
      </c>
      <c r="B20" t="s">
        <v>39</v>
      </c>
      <c r="C20">
        <v>34</v>
      </c>
    </row>
    <row r="21" spans="1:3" x14ac:dyDescent="0.35">
      <c r="A21" t="s">
        <v>22</v>
      </c>
      <c r="B21" t="s">
        <v>39</v>
      </c>
      <c r="C21">
        <v>29</v>
      </c>
    </row>
    <row r="22" spans="1:3" x14ac:dyDescent="0.3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6"/>
  <sheetViews>
    <sheetView topLeftCell="A20" zoomScale="190" zoomScaleNormal="190" workbookViewId="0">
      <selection activeCell="B26" sqref="B26"/>
    </sheetView>
  </sheetViews>
  <sheetFormatPr defaultRowHeight="14.5" x14ac:dyDescent="0.35"/>
  <cols>
    <col min="1" max="1" width="23.1796875" customWidth="1"/>
  </cols>
  <sheetData>
    <row r="1" spans="1:3" x14ac:dyDescent="0.35">
      <c r="A1" s="2" t="s">
        <v>40</v>
      </c>
    </row>
    <row r="2" spans="1:3" x14ac:dyDescent="0.35">
      <c r="A2" t="s">
        <v>41</v>
      </c>
    </row>
    <row r="3" spans="1:3" x14ac:dyDescent="0.35">
      <c r="A3" t="str">
        <f>PROPER(A2)</f>
        <v>Kevin Cookie Company</v>
      </c>
    </row>
    <row r="5" spans="1:3" x14ac:dyDescent="0.35">
      <c r="A5" s="2" t="s">
        <v>42</v>
      </c>
    </row>
    <row r="6" spans="1:3" x14ac:dyDescent="0.35">
      <c r="A6" t="s">
        <v>43</v>
      </c>
    </row>
    <row r="7" spans="1:3" x14ac:dyDescent="0.35">
      <c r="A7" t="str">
        <f>TRIM(A6)</f>
        <v>Kevin Cookie Company</v>
      </c>
    </row>
    <row r="9" spans="1:3" x14ac:dyDescent="0.35">
      <c r="A9" s="2" t="s">
        <v>44</v>
      </c>
    </row>
    <row r="10" spans="1:3" x14ac:dyDescent="0.35">
      <c r="A10" t="s">
        <v>45</v>
      </c>
      <c r="B10" t="s">
        <v>46</v>
      </c>
      <c r="C10" t="s">
        <v>47</v>
      </c>
    </row>
    <row r="11" spans="1:3" x14ac:dyDescent="0.35">
      <c r="A11" t="str">
        <f>_xlfn.CONCAT(A10, " ", B10, " ",  C10)</f>
        <v>Kevin Cookie Company</v>
      </c>
    </row>
    <row r="13" spans="1:3" x14ac:dyDescent="0.35">
      <c r="A13" s="2" t="s">
        <v>48</v>
      </c>
    </row>
    <row r="14" spans="1:3" x14ac:dyDescent="0.35">
      <c r="A14" t="s">
        <v>45</v>
      </c>
      <c r="B14" t="s">
        <v>46</v>
      </c>
      <c r="C14" t="s">
        <v>47</v>
      </c>
    </row>
    <row r="15" spans="1:3" x14ac:dyDescent="0.35">
      <c r="A15" t="str">
        <f>A14&amp; " " &amp; B14&amp; " " &amp; C14</f>
        <v>Kevin Cookie Company</v>
      </c>
    </row>
    <row r="17" spans="1:3" x14ac:dyDescent="0.35">
      <c r="A17" s="2" t="s">
        <v>49</v>
      </c>
    </row>
    <row r="18" spans="1:3" x14ac:dyDescent="0.35">
      <c r="A18" t="s">
        <v>45</v>
      </c>
      <c r="B18" t="s">
        <v>46</v>
      </c>
      <c r="C18" t="s">
        <v>47</v>
      </c>
    </row>
    <row r="19" spans="1:3" x14ac:dyDescent="0.35">
      <c r="A19" t="str">
        <f>_xlfn.TEXTJOIN(" ", TRUE, A18:C18)</f>
        <v>Kevin Cookie Company</v>
      </c>
    </row>
    <row r="21" spans="1:3" x14ac:dyDescent="0.35">
      <c r="A21" s="2" t="s">
        <v>50</v>
      </c>
    </row>
    <row r="22" spans="1:3" x14ac:dyDescent="0.35">
      <c r="A22" t="s">
        <v>51</v>
      </c>
    </row>
    <row r="23" spans="1:3" x14ac:dyDescent="0.35">
      <c r="A23" t="str">
        <f>RIGHT(A22, 5)</f>
        <v>05486</v>
      </c>
    </row>
    <row r="24" spans="1:3" x14ac:dyDescent="0.35">
      <c r="A24" t="str">
        <f>LEFT(A22, 3)</f>
        <v>123</v>
      </c>
    </row>
    <row r="25" spans="1:3" x14ac:dyDescent="0.35">
      <c r="A25" t="str">
        <f>MID(A22, 5, 11)</f>
        <v>Main Street</v>
      </c>
    </row>
    <row r="27" spans="1:3" x14ac:dyDescent="0.35">
      <c r="A27" s="2" t="s">
        <v>52</v>
      </c>
    </row>
    <row r="28" spans="1:3" x14ac:dyDescent="0.35">
      <c r="A28" t="s">
        <v>53</v>
      </c>
    </row>
    <row r="29" spans="1:3" x14ac:dyDescent="0.35">
      <c r="A29">
        <f>LEN(A28)</f>
        <v>20</v>
      </c>
    </row>
    <row r="31" spans="1:3" x14ac:dyDescent="0.35">
      <c r="A31" s="2" t="s">
        <v>54</v>
      </c>
    </row>
    <row r="32" spans="1:3" x14ac:dyDescent="0.35">
      <c r="A32" s="5" t="s">
        <v>55</v>
      </c>
    </row>
    <row r="33" spans="1:1" x14ac:dyDescent="0.35">
      <c r="A33">
        <f>FIND("@", A32)</f>
        <v>4</v>
      </c>
    </row>
    <row r="35" spans="1:1" x14ac:dyDescent="0.35">
      <c r="A35" s="2" t="s">
        <v>56</v>
      </c>
    </row>
    <row r="36" spans="1:1" x14ac:dyDescent="0.35">
      <c r="A36" t="str">
        <f>LEFT(A32, FIND("@", A32)-1)</f>
        <v>sue</v>
      </c>
    </row>
  </sheetData>
  <hyperlinks>
    <hyperlink ref="A32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9" zoomScale="145" zoomScaleNormal="145" workbookViewId="0">
      <selection activeCell="D26" sqref="D26"/>
    </sheetView>
  </sheetViews>
  <sheetFormatPr defaultRowHeight="14.5" x14ac:dyDescent="0.35"/>
  <cols>
    <col min="1" max="1" width="21.7265625" bestFit="1" customWidth="1"/>
    <col min="2" max="2" width="16.453125" customWidth="1"/>
  </cols>
  <sheetData>
    <row r="1" spans="1:4" x14ac:dyDescent="0.35">
      <c r="A1" s="2" t="s">
        <v>57</v>
      </c>
    </row>
    <row r="2" spans="1:4" x14ac:dyDescent="0.35">
      <c r="A2" t="s">
        <v>53</v>
      </c>
      <c r="B2" t="s">
        <v>58</v>
      </c>
    </row>
    <row r="3" spans="1:4" x14ac:dyDescent="0.35">
      <c r="A3">
        <v>10</v>
      </c>
      <c r="B3">
        <v>5</v>
      </c>
      <c r="C3" t="b">
        <f>A3=B3</f>
        <v>0</v>
      </c>
    </row>
    <row r="4" spans="1:4" x14ac:dyDescent="0.35">
      <c r="B4">
        <v>11</v>
      </c>
      <c r="C4" t="b">
        <f>A3&gt;B3</f>
        <v>1</v>
      </c>
    </row>
    <row r="5" spans="1:4" x14ac:dyDescent="0.35">
      <c r="C5" t="b">
        <f>A3&gt;=B3</f>
        <v>1</v>
      </c>
    </row>
    <row r="6" spans="1:4" x14ac:dyDescent="0.35">
      <c r="C6" t="b">
        <f>A3&lt;B3</f>
        <v>0</v>
      </c>
    </row>
    <row r="7" spans="1:4" x14ac:dyDescent="0.35">
      <c r="C7" t="b">
        <f>AND(A3&gt;B3, A3&gt;B4)</f>
        <v>0</v>
      </c>
      <c r="D7" t="b">
        <f>OR(A3&gt;B3, A3&gt;B4)</f>
        <v>1</v>
      </c>
    </row>
    <row r="9" spans="1:4" x14ac:dyDescent="0.35">
      <c r="A9" s="2" t="s">
        <v>13</v>
      </c>
      <c r="B9" s="2" t="s">
        <v>14</v>
      </c>
      <c r="C9" s="2" t="s">
        <v>59</v>
      </c>
    </row>
    <row r="10" spans="1:4" x14ac:dyDescent="0.35">
      <c r="A10" t="s">
        <v>0</v>
      </c>
      <c r="B10">
        <v>97</v>
      </c>
      <c r="C10" t="s">
        <v>60</v>
      </c>
    </row>
    <row r="11" spans="1:4" x14ac:dyDescent="0.35">
      <c r="A11" t="s">
        <v>1</v>
      </c>
      <c r="B11">
        <v>150</v>
      </c>
      <c r="C11" t="str">
        <f>IF(B10&gt;B11,"Chocolate Chip","Oatmeal Raisin")</f>
        <v>Oatmeal Raisin</v>
      </c>
    </row>
    <row r="12" spans="1:4" x14ac:dyDescent="0.35">
      <c r="A12" t="s">
        <v>2</v>
      </c>
      <c r="B12">
        <v>50</v>
      </c>
    </row>
    <row r="13" spans="1:4" x14ac:dyDescent="0.35">
      <c r="C13" s="2" t="s">
        <v>61</v>
      </c>
    </row>
    <row r="14" spans="1:4" x14ac:dyDescent="0.35">
      <c r="C14" t="s">
        <v>62</v>
      </c>
    </row>
    <row r="15" spans="1:4" x14ac:dyDescent="0.35">
      <c r="C15" t="str">
        <f>IF(AND(B10&gt;B11, B10&gt;B12),"Yes","No")</f>
        <v>No</v>
      </c>
    </row>
    <row r="17" spans="1:5" x14ac:dyDescent="0.35">
      <c r="C17" s="2" t="s">
        <v>63</v>
      </c>
    </row>
    <row r="18" spans="1:5" x14ac:dyDescent="0.35">
      <c r="C18" t="s">
        <v>64</v>
      </c>
    </row>
    <row r="19" spans="1:5" x14ac:dyDescent="0.35">
      <c r="C19" t="str">
        <f>IF(OR(B10&gt;B11, B10&gt;B12),"Yes","No")</f>
        <v>Yes</v>
      </c>
    </row>
    <row r="21" spans="1:5" x14ac:dyDescent="0.35">
      <c r="A21" s="2" t="s">
        <v>65</v>
      </c>
      <c r="B21" s="2" t="s">
        <v>66</v>
      </c>
      <c r="C21" s="2" t="s">
        <v>67</v>
      </c>
    </row>
    <row r="22" spans="1:5" x14ac:dyDescent="0.35">
      <c r="A22" t="s">
        <v>0</v>
      </c>
      <c r="B22">
        <v>10</v>
      </c>
      <c r="C22" t="s">
        <v>68</v>
      </c>
      <c r="E22" s="2" t="s">
        <v>2</v>
      </c>
    </row>
    <row r="23" spans="1:5" x14ac:dyDescent="0.35">
      <c r="A23" t="s">
        <v>1</v>
      </c>
      <c r="B23">
        <v>8</v>
      </c>
      <c r="C23">
        <f>IF(E22=A22, B22, IF(E22=A23, B23, IF(E22=A24, B24, "Unknown")))</f>
        <v>5</v>
      </c>
      <c r="D23" t="str">
        <f ca="1">_xlfn.FORMULATEXT(C23)</f>
        <v>=IF(E22=A22, B22, IF(E22=A23, B23, IF(E22=A24, B24, "Unknown")))</v>
      </c>
    </row>
    <row r="24" spans="1:5" x14ac:dyDescent="0.35">
      <c r="A24" t="s">
        <v>2</v>
      </c>
      <c r="B24">
        <v>5</v>
      </c>
      <c r="C24" cm="1">
        <f t="array" ref="C24">_xlfn.IFS(E22=A22, B22, E22=A23, B23, E22=A24, B24)</f>
        <v>5</v>
      </c>
      <c r="D24" t="str">
        <f ca="1">_xlfn.FORMULATEXT(C24)</f>
        <v>=IFS(E22=A22, B22, E22=A23, B23, E22=A24, B24)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145" zoomScaleNormal="145" workbookViewId="0">
      <selection activeCell="E7" sqref="E7"/>
    </sheetView>
  </sheetViews>
  <sheetFormatPr defaultRowHeight="14.5" x14ac:dyDescent="0.35"/>
  <cols>
    <col min="1" max="1" width="14.453125" bestFit="1" customWidth="1"/>
    <col min="3" max="3" width="11.54296875" customWidth="1"/>
    <col min="4" max="4" width="3.54296875" customWidth="1"/>
    <col min="5" max="5" width="19" bestFit="1" customWidth="1"/>
  </cols>
  <sheetData>
    <row r="1" spans="1:6" x14ac:dyDescent="0.3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3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35">
      <c r="A3" t="s">
        <v>1</v>
      </c>
      <c r="B3">
        <v>8</v>
      </c>
      <c r="C3">
        <v>3</v>
      </c>
      <c r="E3">
        <f>VLOOKUP(F2,A1:C4,2,FALSE)</f>
        <v>5</v>
      </c>
    </row>
    <row r="4" spans="1:6" x14ac:dyDescent="0.35">
      <c r="A4" t="s">
        <v>2</v>
      </c>
      <c r="B4">
        <v>5</v>
      </c>
      <c r="C4">
        <v>2</v>
      </c>
    </row>
    <row r="5" spans="1:6" x14ac:dyDescent="0.35">
      <c r="E5" s="2" t="s">
        <v>70</v>
      </c>
    </row>
    <row r="6" spans="1:6" x14ac:dyDescent="0.35">
      <c r="E6" t="s">
        <v>68</v>
      </c>
      <c r="F6" t="s">
        <v>0</v>
      </c>
    </row>
    <row r="7" spans="1:6" x14ac:dyDescent="0.35">
      <c r="E7" cm="1">
        <f t="array" ref="E7:F7">_xlfn.XLOOKUP(F6,A:A,B:C)</f>
        <v>10</v>
      </c>
      <c r="F7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defaultRowHeight="14.5" x14ac:dyDescent="0.35"/>
  <cols>
    <col min="1" max="1" width="15.453125" bestFit="1" customWidth="1"/>
  </cols>
  <sheetData>
    <row r="1" spans="1:1" x14ac:dyDescent="0.35">
      <c r="A1" s="2" t="s">
        <v>71</v>
      </c>
    </row>
    <row r="2" spans="1:1" x14ac:dyDescent="0.35">
      <c r="A2" s="6">
        <f ca="1">TODAY()</f>
        <v>46088</v>
      </c>
    </row>
    <row r="4" spans="1:1" x14ac:dyDescent="0.35">
      <c r="A4" s="2" t="s">
        <v>72</v>
      </c>
    </row>
    <row r="5" spans="1:1" x14ac:dyDescent="0.35">
      <c r="A5" s="7">
        <f ca="1">NOW()</f>
        <v>46088.292781018521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325" zoomScaleNormal="325" workbookViewId="0">
      <selection activeCell="D3" sqref="D3"/>
    </sheetView>
  </sheetViews>
  <sheetFormatPr defaultRowHeight="14.5" x14ac:dyDescent="0.35"/>
  <sheetData>
    <row r="1" spans="1:2" x14ac:dyDescent="0.35">
      <c r="A1" s="8">
        <f>5+4</f>
        <v>9</v>
      </c>
      <c r="B1">
        <v>1</v>
      </c>
    </row>
    <row r="2" spans="1:2" x14ac:dyDescent="0.35">
      <c r="A2" s="8">
        <f>8-2</f>
        <v>6</v>
      </c>
      <c r="B2">
        <v>3</v>
      </c>
    </row>
    <row r="3" spans="1:2" x14ac:dyDescent="0.35">
      <c r="A3" s="8">
        <f>A2+B2</f>
        <v>9</v>
      </c>
      <c r="B3" s="8">
        <f>4+2</f>
        <v>6</v>
      </c>
    </row>
    <row r="4" spans="1:2" x14ac:dyDescent="0.35">
      <c r="A4">
        <v>3</v>
      </c>
      <c r="B4" s="8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Ogechukwu Evelyn</cp:lastModifiedBy>
  <cp:revision/>
  <dcterms:created xsi:type="dcterms:W3CDTF">2022-05-10T22:30:35Z</dcterms:created>
  <dcterms:modified xsi:type="dcterms:W3CDTF">2026-03-07T06:02:35Z</dcterms:modified>
  <cp:category/>
  <cp:contentStatus/>
</cp:coreProperties>
</file>